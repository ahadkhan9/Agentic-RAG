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66CC"/>
        <bgColor rgb="000066C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4" fillId="0" borderId="0" pivotButton="0" quotePrefix="0" xfId="0"/>
    <xf numFmtId="164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3" customWidth="1" min="4" max="4"/>
    <col width="11" customWidth="1" min="5" max="5"/>
    <col width="12" customWidth="1" min="6" max="6"/>
    <col width="14" customWidth="1" min="7" max="7"/>
    <col width="18" customWidth="1" min="8" max="8"/>
  </cols>
  <sheetData>
    <row r="1">
      <c r="A1" s="1" t="inlineStr">
        <is>
          <t>SPARE PARTS INVENTORY - PUMP SYSTEMS</t>
        </is>
      </c>
    </row>
    <row r="2">
      <c r="A2" s="2" t="inlineStr">
        <is>
          <t>Generated: 2026-02-02 03:47</t>
        </is>
      </c>
    </row>
    <row r="4">
      <c r="A4" s="3" t="inlineStr">
        <is>
          <t>Part Number</t>
        </is>
      </c>
      <c r="B4" s="3" t="inlineStr">
        <is>
          <t>Description</t>
        </is>
      </c>
      <c r="C4" s="3" t="inlineStr">
        <is>
          <t>Equipment</t>
        </is>
      </c>
      <c r="D4" s="3" t="inlineStr">
        <is>
          <t>Current Stock</t>
        </is>
      </c>
      <c r="E4" s="3" t="inlineStr">
        <is>
          <t>Min Stock</t>
        </is>
      </c>
      <c r="F4" s="3" t="inlineStr">
        <is>
          <t>Unit Cost</t>
        </is>
      </c>
      <c r="G4" s="3" t="inlineStr">
        <is>
          <t>Total Value</t>
        </is>
      </c>
      <c r="H4" s="3" t="inlineStr">
        <is>
          <t>Location</t>
        </is>
      </c>
    </row>
    <row r="5">
      <c r="A5" t="inlineStr">
        <is>
          <t>P100-SEAL-MS01</t>
        </is>
      </c>
      <c r="B5" t="inlineStr">
        <is>
          <t>Mechanical Seal Assembly</t>
        </is>
      </c>
      <c r="C5" t="inlineStr">
        <is>
          <t>P-100 Pump</t>
        </is>
      </c>
      <c r="D5" s="4" t="n">
        <v>3</v>
      </c>
      <c r="E5" s="4" t="n">
        <v>2</v>
      </c>
      <c r="F5" s="5" t="n">
        <v>245.5</v>
      </c>
      <c r="G5" s="5">
        <f>D5*F5</f>
        <v/>
      </c>
      <c r="H5" t="inlineStr">
        <is>
          <t>Warehouse A3</t>
        </is>
      </c>
    </row>
    <row r="6">
      <c r="A6" t="inlineStr">
        <is>
          <t>P100-BRG-6308</t>
        </is>
      </c>
      <c r="B6" t="inlineStr">
        <is>
          <t>Radial Ball Bearing</t>
        </is>
      </c>
      <c r="C6" t="inlineStr">
        <is>
          <t>P-100 Pump</t>
        </is>
      </c>
      <c r="D6" s="4" t="n">
        <v>6</v>
      </c>
      <c r="E6" s="4" t="n">
        <v>4</v>
      </c>
      <c r="F6" s="5" t="n">
        <v>87.25</v>
      </c>
      <c r="G6" s="5">
        <f>D6*F6</f>
        <v/>
      </c>
      <c r="H6" t="inlineStr">
        <is>
          <t>Warehouse A3</t>
        </is>
      </c>
    </row>
    <row r="7">
      <c r="A7" t="inlineStr">
        <is>
          <t>P100-IMP-SS316</t>
        </is>
      </c>
      <c r="B7" t="inlineStr">
        <is>
          <t>SS316 Impeller 12"</t>
        </is>
      </c>
      <c r="C7" t="inlineStr">
        <is>
          <t>P-100 Pump</t>
        </is>
      </c>
      <c r="D7" s="4" t="n">
        <v>1</v>
      </c>
      <c r="E7" s="4" t="n">
        <v>1</v>
      </c>
      <c r="F7" s="5" t="n">
        <v>1250</v>
      </c>
      <c r="G7" s="5">
        <f>D7*F7</f>
        <v/>
      </c>
      <c r="H7" t="inlineStr">
        <is>
          <t>Warehouse B12</t>
        </is>
      </c>
    </row>
    <row r="8">
      <c r="A8" t="inlineStr">
        <is>
          <t>P100-CPL-075</t>
        </is>
      </c>
      <c r="B8" t="inlineStr">
        <is>
          <t>Coupling Elastomer</t>
        </is>
      </c>
      <c r="C8" t="inlineStr">
        <is>
          <t>P-100 Pump</t>
        </is>
      </c>
      <c r="D8" s="4" t="n">
        <v>4</v>
      </c>
      <c r="E8" s="4" t="n">
        <v>2</v>
      </c>
      <c r="F8" s="5" t="n">
        <v>65</v>
      </c>
      <c r="G8" s="5">
        <f>D8*F8</f>
        <v/>
      </c>
      <c r="H8" t="inlineStr">
        <is>
          <t>Warehouse A3</t>
        </is>
      </c>
    </row>
    <row r="9">
      <c r="A9" t="inlineStr">
        <is>
          <t>P100-OR-125</t>
        </is>
      </c>
      <c r="B9" t="inlineStr">
        <is>
          <t>Seal Chamber O-Ring</t>
        </is>
      </c>
      <c r="C9" t="inlineStr">
        <is>
          <t>P-100 Pump</t>
        </is>
      </c>
      <c r="D9" s="4" t="n">
        <v>12</v>
      </c>
      <c r="E9" s="4" t="n">
        <v>5</v>
      </c>
      <c r="F9" s="5" t="n">
        <v>8.5</v>
      </c>
      <c r="G9" s="5">
        <f>D9*F9</f>
        <v/>
      </c>
      <c r="H9" t="inlineStr">
        <is>
          <t>Warehouse A3</t>
        </is>
      </c>
    </row>
    <row r="10">
      <c r="A10" t="inlineStr">
        <is>
          <t>P100-GSK-FLG</t>
        </is>
      </c>
      <c r="B10" t="inlineStr">
        <is>
          <t>Flange Gasket Set</t>
        </is>
      </c>
      <c r="C10" t="inlineStr">
        <is>
          <t>P-100 Pump</t>
        </is>
      </c>
      <c r="D10" s="4" t="n">
        <v>3</v>
      </c>
      <c r="E10" s="4" t="n">
        <v>2</v>
      </c>
      <c r="F10" s="5" t="n">
        <v>42.75</v>
      </c>
      <c r="G10" s="5">
        <f>D10*F10</f>
        <v/>
      </c>
      <c r="H10" t="inlineStr">
        <is>
          <t>Warehouse A3</t>
        </is>
      </c>
    </row>
    <row r="11">
      <c r="A11" t="inlineStr">
        <is>
          <t>P101-SEAL-MS01</t>
        </is>
      </c>
      <c r="B11" t="inlineStr">
        <is>
          <t>Mechanical Seal Assembly</t>
        </is>
      </c>
      <c r="C11" t="inlineStr">
        <is>
          <t>P-101 Pump</t>
        </is>
      </c>
      <c r="D11" s="4" t="n">
        <v>2</v>
      </c>
      <c r="E11" s="4" t="n">
        <v>2</v>
      </c>
      <c r="F11" s="5" t="n">
        <v>245.5</v>
      </c>
      <c r="G11" s="5">
        <f>D11*F11</f>
        <v/>
      </c>
      <c r="H11" t="inlineStr">
        <is>
          <t>Warehouse A3</t>
        </is>
      </c>
    </row>
    <row r="12">
      <c r="A12" t="inlineStr">
        <is>
          <t>P101-BRG-6309</t>
        </is>
      </c>
      <c r="B12" t="inlineStr">
        <is>
          <t>Radial Ball Bearing</t>
        </is>
      </c>
      <c r="C12" t="inlineStr">
        <is>
          <t>P-101 Pump</t>
        </is>
      </c>
      <c r="D12" s="4" t="n">
        <v>4</v>
      </c>
      <c r="E12" s="4" t="n">
        <v>4</v>
      </c>
      <c r="F12" s="5" t="n">
        <v>92</v>
      </c>
      <c r="G12" s="5">
        <f>D12*F12</f>
        <v/>
      </c>
      <c r="H12" t="inlineStr">
        <is>
          <t>Warehouse A3</t>
        </is>
      </c>
    </row>
    <row r="13">
      <c r="A13" t="inlineStr">
        <is>
          <t>MTR-25HP-COOL</t>
        </is>
      </c>
      <c r="B13" t="inlineStr">
        <is>
          <t>Motor Cooling Fan</t>
        </is>
      </c>
      <c r="C13" t="inlineStr">
        <is>
          <t>Motors 25HP</t>
        </is>
      </c>
      <c r="D13" s="4" t="n">
        <v>2</v>
      </c>
      <c r="E13" s="4" t="n">
        <v>1</v>
      </c>
      <c r="F13" s="5" t="n">
        <v>185</v>
      </c>
      <c r="G13" s="5">
        <f>D13*F13</f>
        <v/>
      </c>
      <c r="H13" t="inlineStr">
        <is>
          <t>Warehouse E5</t>
        </is>
      </c>
    </row>
    <row r="14">
      <c r="A14" t="inlineStr">
        <is>
          <t>HYD-HOSE-075</t>
        </is>
      </c>
      <c r="B14" t="inlineStr">
        <is>
          <t>Hydraulic Hose 3/4"</t>
        </is>
      </c>
      <c r="C14" t="inlineStr">
        <is>
          <t>Hydraulic System</t>
        </is>
      </c>
      <c r="D14" s="4" t="n">
        <v>8</v>
      </c>
      <c r="E14" s="4" t="n">
        <v>3</v>
      </c>
      <c r="F14" s="5" t="n">
        <v>45.25</v>
      </c>
      <c r="G14" s="5">
        <f>D14*F14</f>
        <v/>
      </c>
      <c r="H14" t="inlineStr">
        <is>
          <t>Warehouse C2</t>
        </is>
      </c>
    </row>
    <row r="15">
      <c r="A15" t="inlineStr">
        <is>
          <t>HYD-FLT-050</t>
        </is>
      </c>
      <c r="B15" t="inlineStr">
        <is>
          <t>Hydraulic Filter Element</t>
        </is>
      </c>
      <c r="C15" t="inlineStr">
        <is>
          <t>Hydraulic System</t>
        </is>
      </c>
      <c r="D15" s="4" t="n">
        <v>6</v>
      </c>
      <c r="E15" s="4" t="n">
        <v>4</v>
      </c>
      <c r="F15" s="5" t="n">
        <v>68.5</v>
      </c>
      <c r="G15" s="5">
        <f>D15*F15</f>
        <v/>
      </c>
      <c r="H15" t="inlineStr">
        <is>
          <t>Warehouse C2</t>
        </is>
      </c>
    </row>
    <row r="16">
      <c r="A16" t="inlineStr">
        <is>
          <t>ELC-RELAY-24V</t>
        </is>
      </c>
      <c r="B16" t="inlineStr">
        <is>
          <t>Control Relay 24VDC</t>
        </is>
      </c>
      <c r="C16" t="inlineStr">
        <is>
          <t>Control Panels</t>
        </is>
      </c>
      <c r="D16" s="4" t="n">
        <v>10</v>
      </c>
      <c r="E16" s="4" t="n">
        <v>5</v>
      </c>
      <c r="F16" s="5" t="n">
        <v>28.75</v>
      </c>
      <c r="G16" s="5">
        <f>D16*F16</f>
        <v/>
      </c>
      <c r="H16" t="inlineStr">
        <is>
          <t>Warehouse E1</t>
        </is>
      </c>
    </row>
    <row r="17">
      <c r="A17" t="inlineStr">
        <is>
          <t>ELC-FUSE-30A</t>
        </is>
      </c>
      <c r="B17" t="inlineStr">
        <is>
          <t>Motor Fuses 30A</t>
        </is>
      </c>
      <c r="C17" t="inlineStr">
        <is>
          <t>Motors</t>
        </is>
      </c>
      <c r="D17" s="4" t="n">
        <v>15</v>
      </c>
      <c r="E17" s="4" t="n">
        <v>10</v>
      </c>
      <c r="F17" s="5" t="n">
        <v>12.5</v>
      </c>
      <c r="G17" s="5">
        <f>D17*F17</f>
        <v/>
      </c>
      <c r="H17" t="inlineStr">
        <is>
          <t>Warehouse E1</t>
        </is>
      </c>
    </row>
    <row r="18">
      <c r="A18" t="inlineStr">
        <is>
          <t>LUB-GREASE-2</t>
        </is>
      </c>
      <c r="B18" t="inlineStr">
        <is>
          <t>NLGI Grade 2 Grease (tube)</t>
        </is>
      </c>
      <c r="C18" t="inlineStr">
        <is>
          <t>All Equipment</t>
        </is>
      </c>
      <c r="D18" s="4" t="n">
        <v>20</v>
      </c>
      <c r="E18" s="4" t="n">
        <v>10</v>
      </c>
      <c r="F18" s="5" t="n">
        <v>15.25</v>
      </c>
      <c r="G18" s="5">
        <f>D18*F18</f>
        <v/>
      </c>
      <c r="H18" t="inlineStr">
        <is>
          <t>Maintenance Shop</t>
        </is>
      </c>
    </row>
    <row r="19">
      <c r="A19" t="inlineStr">
        <is>
          <t>SEAL-LUB-SYN</t>
        </is>
      </c>
      <c r="B19" t="inlineStr">
        <is>
          <t>Synthetic Seal Lubricant</t>
        </is>
      </c>
      <c r="C19" t="inlineStr">
        <is>
          <t>Pumps</t>
        </is>
      </c>
      <c r="D19" s="4" t="n">
        <v>5</v>
      </c>
      <c r="E19" s="4" t="n">
        <v>3</v>
      </c>
      <c r="F19" s="5" t="n">
        <v>22</v>
      </c>
      <c r="G19" s="5">
        <f>D19*F19</f>
        <v/>
      </c>
      <c r="H19" t="inlineStr">
        <is>
          <t>Maintenance Shop</t>
        </is>
      </c>
    </row>
    <row r="21">
      <c r="F21" s="6" t="inlineStr">
        <is>
          <t>TOTAL INVENTORY VALUE:</t>
        </is>
      </c>
      <c r="G21" s="7">
        <f>SUM(G5:G20)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2026-02-01T22:17:31Z</dcterms:created>
  <dcterms:modified xmlns:dcterms="http://purl.org/dc/terms/" xmlns:xsi="http://www.w3.org/2001/XMLSchema-instance" xsi:type="dcterms:W3CDTF">2026-02-01T22:17:31Z</dcterms:modified>
</cp:coreProperties>
</file>